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가음\Downloads\"/>
    </mc:Choice>
  </mc:AlternateContent>
  <bookViews>
    <workbookView windowWidth="23040" windowHeight="9060"/>
  </bookViews>
  <sheets>
    <sheet name="Test Results" sheetId="1" r:id="rId1"/>
    <sheet name="Photo Evid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<sst xmlns="http://schemas.openxmlformats.org/spreadsheetml/2006/main" count="143" uniqueCount="77">
  <si>
    <t>CakGo | Object Detection Test Log</t>
  </si>
  <si>
    <t>Screenshots show detection boxes. Timing and voice confirmation must be entered from actual observations.</t>
  </si>
  <si>
    <t>Photo #</t>
  </si>
  <si>
    <t>Object</t>
  </si>
  <si>
    <t>Distance / angle</t>
  </si>
  <si>
    <t>Screenshot evidence</t>
  </si>
  <si>
    <t>Visual detection</t>
  </si>
  <si>
    <t>Time 1 (s)</t>
  </si>
  <si>
    <t>Time 2 (s)</t>
  </si>
  <si>
    <t>Time 3 (s)</t>
  </si>
  <si>
    <t>Average (s)</t>
  </si>
  <si>
    <t>Voice heard?</t>
  </si>
  <si>
    <t>01</t>
  </si>
  <si>
    <t>Wallet</t>
  </si>
  <si>
    <t>Far</t>
  </si>
  <si>
    <t>6644.jpeg</t>
  </si>
  <si>
    <t>Box visible</t>
  </si>
  <si>
    <t>Yes</t>
  </si>
  <si>
    <t>02</t>
  </si>
  <si>
    <t>Near</t>
  </si>
  <si>
    <t>6648.jpeg</t>
  </si>
  <si>
    <t>03</t>
  </si>
  <si>
    <t>Medium / angled</t>
  </si>
  <si>
    <t>6652.jpeg</t>
  </si>
  <si>
    <t>04</t>
  </si>
  <si>
    <t>Keys</t>
  </si>
  <si>
    <t>6650.jpeg</t>
  </si>
  <si>
    <t>05</t>
  </si>
  <si>
    <t>6654.jpeg</t>
  </si>
  <si>
    <t>06</t>
  </si>
  <si>
    <t>Glasses</t>
  </si>
  <si>
    <t>6640.jpeg</t>
  </si>
  <si>
    <t>07</t>
  </si>
  <si>
    <t>Medium</t>
  </si>
  <si>
    <t>6642.jpeg</t>
  </si>
  <si>
    <t>08</t>
  </si>
  <si>
    <t>6646.jpeg</t>
  </si>
  <si>
    <t>09</t>
  </si>
  <si>
    <t>Remote control</t>
  </si>
  <si>
    <t>6638.jpeg</t>
  </si>
  <si>
    <t>10</t>
  </si>
  <si>
    <t>6637.jpeg</t>
  </si>
  <si>
    <t>Summary</t>
  </si>
  <si>
    <t>Value</t>
  </si>
  <si>
    <t>Screenshot cases</t>
  </si>
  <si>
    <t>Boxes visible</t>
  </si>
  <si>
    <t>No box</t>
  </si>
  <si>
    <t>Visual detection rate</t>
  </si>
  <si>
    <t>Timed trials</t>
  </si>
  <si>
    <t>Voice confirmed</t>
  </si>
  <si>
    <t>Note: A visible box does not establish precise recognition latency or successful audio playback.</t>
  </si>
  <si>
    <t>CakGo | Original Photos vs. Detection Screenshots</t>
  </si>
  <si>
    <t>Left: original image | Right: screenshot showing the yellow detection box</t>
  </si>
  <si>
    <t>#01  |  Wallet  |  Far</t>
  </si>
  <si>
    <t>ORIGINAL PHOTO</t>
  </si>
  <si>
    <t>DETECTION SCREENSHOT</t>
  </si>
  <si>
    <t>Yellow box visible</t>
  </si>
  <si>
    <t>Time 1: 1.750 s</t>
  </si>
  <si>
    <t>Voice: Yes</t>
  </si>
  <si>
    <t>#02  |  Wallet  |  Near</t>
  </si>
  <si>
    <t>Time 1: 1.816 s</t>
  </si>
  <si>
    <t>#03  |  Wallet  |  Medium / angled</t>
  </si>
  <si>
    <t>Time 1: 2.683 s</t>
  </si>
  <si>
    <t>#04  |  Keys  |  Far</t>
  </si>
  <si>
    <t>Time 1: 2.016s</t>
  </si>
  <si>
    <t>#05  |  Keys  |  Near</t>
  </si>
  <si>
    <t>Time 1:15.583 s</t>
  </si>
  <si>
    <t>#06  |  Glasses  |  Far</t>
  </si>
  <si>
    <t>Time 1: 4.250 s</t>
  </si>
  <si>
    <t>#07  |  Glasses  |  Medium</t>
  </si>
  <si>
    <t>Time 1:1.650 s</t>
  </si>
  <si>
    <t>#08  |  Glasses  |  Near</t>
  </si>
  <si>
    <t>Time 1:2.966 s</t>
  </si>
  <si>
    <t>#09  |  Remote control  |  Far</t>
  </si>
  <si>
    <t>Time 1: 3.083 s</t>
  </si>
  <si>
    <t>#10  |  Remote control  |  Near</t>
  </si>
  <si>
    <t>Time 1: 3.900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</si>
</sst>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0.000_ "/>
    <numFmt numFmtId="177" formatCode="0.0%"/>
  </numFmts>
  <fonts count="25">
    <font>
      <sz val="11"/>
      <name val="Carlito"/>
      <charset val="134"/>
    </font>
    <font>
      <b/>
      <sz val="17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8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EAF2FA"/>
        <bgColor indexed="64"/>
      </patternFill>
    </fill>
    <fill>
      <patternFill patternType="solid">
        <fgColor rgb="FF225D99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/>
    <xf numFmtId="0" fontId="0" fillId="3" borderId="0" xfId="49" applyNumberFormat="1" applyFont="1" applyFill="1" applyBorder="1"/>
    <xf numFmtId="0" fontId="2" fillId="4" borderId="0" xfId="49" applyNumberFormat="1" applyFont="1" applyFill="1" applyBorder="1"/>
    <xf numFmtId="0" fontId="3" fillId="3" borderId="0" xfId="49" applyNumberFormat="1" applyFont="1" applyFill="1" applyBorder="1"/>
    <xf numFmtId="0" fontId="4" fillId="2" borderId="0" xfId="49" applyNumberFormat="1" applyFont="1" applyFill="1" applyBorder="1"/>
    <xf numFmtId="0" fontId="0" fillId="5" borderId="0" xfId="49" applyNumberFormat="1" applyFont="1" applyFill="1" applyBorder="1"/>
    <xf numFmtId="176" fontId="0" fillId="5" borderId="0" xfId="49" applyNumberFormat="1" applyFont="1" applyFill="1" applyBorder="1"/>
    <xf numFmtId="176" fontId="0" fillId="0" borderId="0" xfId="49" applyNumberFormat="1"/>
    <xf numFmtId="0" fontId="2" fillId="2" borderId="0" xfId="49" applyNumberFormat="1" applyFont="1" applyFill="1" applyBorder="1"/>
    <xf numFmtId="177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5</xdr:row>
      <xdr:rowOff>0</xdr:rowOff>
    </xdr:from>
    <xdr:ext cx="2352675" cy="3143250"/>
    <xdr:pic>
      <xdr:nvPicPr>
        <xdr:cNvPr id="2" name="727a33d1-9aa5-4d30-85ff-22f3cd0efcf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55956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952625" cy="3143250"/>
    <xdr:pic>
      <xdr:nvPicPr>
        <xdr:cNvPr id="3" name="67e8c9a3-06c4-419c-89f7-5018d11ecb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8600" y="1559560"/>
          <a:ext cx="1952625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2428875" cy="1819275"/>
    <xdr:pic>
      <xdr:nvPicPr>
        <xdr:cNvPr id="4" name="c24c6a46-aaf3-4205-8d36-3af5fd04f5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7800" y="6903720"/>
          <a:ext cx="2428875" cy="18192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924050" cy="3143250"/>
    <xdr:pic>
      <xdr:nvPicPr>
        <xdr:cNvPr id="5" name="6cee0bf9-02a2-4348-85d6-ec302f8b1ea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38600" y="6903720"/>
          <a:ext cx="1924050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2352675" cy="3143250"/>
    <xdr:pic>
      <xdr:nvPicPr>
        <xdr:cNvPr id="6" name="ebef1f00-aff8-4295-9de1-58353e8f4ec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7800" y="1224788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933575" cy="3143250"/>
    <xdr:pic>
      <xdr:nvPicPr>
        <xdr:cNvPr id="7" name="4f74120f-8e9c-4630-b909-891eed9631a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38600" y="12247880"/>
          <a:ext cx="1933575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2352675" cy="3143250"/>
    <xdr:pic>
      <xdr:nvPicPr>
        <xdr:cNvPr id="8" name="0b86ebd4-aac4-4850-824c-d1d3e0062df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7800" y="1759204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943100" cy="3143250"/>
    <xdr:pic>
      <xdr:nvPicPr>
        <xdr:cNvPr id="9" name="b73c2a85-f031-4af6-8263-5d3eae28c76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38600" y="17592040"/>
          <a:ext cx="1943100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2352675" cy="3143250"/>
    <xdr:pic>
      <xdr:nvPicPr>
        <xdr:cNvPr id="10" name="f7f5a3d5-4289-4922-9548-1f98559e5d2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47800" y="2293620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695450" cy="3143250"/>
    <xdr:pic>
      <xdr:nvPicPr>
        <xdr:cNvPr id="11" name="f2e7a553-b83a-46a6-b509-bec3c56e1f8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38600" y="22936200"/>
          <a:ext cx="1695450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2352675" cy="3143250"/>
    <xdr:pic>
      <xdr:nvPicPr>
        <xdr:cNvPr id="12" name="a1bf43f1-28ee-4ada-86ab-9d5678ca41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47800" y="2828036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905000" cy="3143250"/>
    <xdr:pic>
      <xdr:nvPicPr>
        <xdr:cNvPr id="13" name="e2a97e08-5891-4a38-8fc5-1879ffaf18c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38600" y="28280360"/>
          <a:ext cx="1905000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2352675" cy="3143250"/>
    <xdr:pic>
      <xdr:nvPicPr>
        <xdr:cNvPr id="14" name="48f0c20c-499a-4080-810f-e1b66ea3d75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47800" y="3362452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924050" cy="3143250"/>
    <xdr:pic>
      <xdr:nvPicPr>
        <xdr:cNvPr id="15" name="c4745a2c-b4b5-49a3-87f5-a0626576e06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38600" y="33624520"/>
          <a:ext cx="1924050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2352675" cy="3143250"/>
    <xdr:pic>
      <xdr:nvPicPr>
        <xdr:cNvPr id="16" name="dd10d423-1d56-4365-9c14-07643a4fefa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47800" y="3896868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1971675" cy="3143250"/>
    <xdr:pic>
      <xdr:nvPicPr>
        <xdr:cNvPr id="17" name="428c6ca1-dfa3-4128-9fd9-4bd8e398dcec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038600" y="38968680"/>
          <a:ext cx="1971675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2352675" cy="3143250"/>
    <xdr:pic>
      <xdr:nvPicPr>
        <xdr:cNvPr id="18" name="92533c1d-8547-47b1-a8a0-82aa5bd1338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47800" y="4431284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1895475" cy="3143250"/>
    <xdr:pic>
      <xdr:nvPicPr>
        <xdr:cNvPr id="19" name="08a70cc8-31cc-4df9-93a4-1034d59f248b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038600" y="44312840"/>
          <a:ext cx="1895475" cy="3143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2352675" cy="3143250"/>
    <xdr:pic>
      <xdr:nvPicPr>
        <xdr:cNvPr id="20" name="b061072e-b681-4c2e-9999-3a7bab03323f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47800" y="49657000"/>
          <a:ext cx="2352675" cy="3143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1885950" cy="3143250"/>
    <xdr:pic>
      <xdr:nvPicPr>
        <xdr:cNvPr id="21" name="f27f5269-6606-4dc8-850b-e13aebe0cc5b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038600" y="49657000"/>
          <a:ext cx="1885950" cy="3143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pane ySplit="4" topLeftCell="A9" activePane="bottomLeft" state="frozen"/>
      <selection/>
      <selection pane="bottomLeft" activeCell="F5" sqref="F5"/>
    </sheetView>
  </sheetViews>
  <sheetFormatPr defaultColWidth="9" defaultRowHeight="13.8"/>
  <cols>
    <col min="1" max="1" width="16" customWidth="1"/>
    <col min="2" max="2" width="22" customWidth="1"/>
    <col min="3" max="3" width="24" customWidth="1"/>
    <col min="4" max="4" width="22" customWidth="1"/>
    <col min="5" max="5" width="21" customWidth="1"/>
    <col min="6" max="8" width="15" customWidth="1"/>
    <col min="9" max="9" width="16" customWidth="1"/>
    <col min="10" max="10" width="21" customWidth="1"/>
  </cols>
  <sheetData>
    <row r="1" ht="35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28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4" customHeight="1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1.75</v>
      </c>
      <c r="G5">
        <v>2.966</v>
      </c>
      <c r="H5">
        <v>1.45</v>
      </c>
      <c r="I5">
        <f t="shared" ref="I5:I14" si="0">IF(COUNT(F5:H5)=0,"",AVERAGE(F5:H5))</f>
        <v>2.05533333333333</v>
      </c>
      <c r="J5" t="s">
        <v>17</v>
      </c>
    </row>
    <row r="6" ht="24" customHeight="1" spans="1:10">
      <c r="A6" s="6" t="s">
        <v>18</v>
      </c>
      <c r="B6" s="6" t="s">
        <v>13</v>
      </c>
      <c r="C6" s="6" t="s">
        <v>19</v>
      </c>
      <c r="D6" s="6" t="s">
        <v>20</v>
      </c>
      <c r="E6" s="6" t="s">
        <v>16</v>
      </c>
      <c r="F6" s="6">
        <v>1.816</v>
      </c>
      <c r="G6" s="6">
        <v>2.499</v>
      </c>
      <c r="H6" s="6">
        <v>3.483</v>
      </c>
      <c r="I6" s="6">
        <f t="shared" si="0"/>
        <v>2.59933333333333</v>
      </c>
      <c r="J6" s="6" t="s">
        <v>17</v>
      </c>
    </row>
    <row r="7" ht="24" customHeight="1" spans="1:10">
      <c r="A7" t="s">
        <v>21</v>
      </c>
      <c r="B7" t="s">
        <v>13</v>
      </c>
      <c r="C7" t="s">
        <v>22</v>
      </c>
      <c r="D7" t="s">
        <v>23</v>
      </c>
      <c r="E7" t="s">
        <v>16</v>
      </c>
      <c r="F7">
        <v>2.683</v>
      </c>
      <c r="G7">
        <v>2.132</v>
      </c>
      <c r="H7">
        <v>2.217</v>
      </c>
      <c r="I7">
        <f t="shared" si="0"/>
        <v>2.344</v>
      </c>
      <c r="J7" t="s">
        <v>17</v>
      </c>
    </row>
    <row r="8" ht="24" customHeight="1" spans="1:10">
      <c r="A8" s="6" t="s">
        <v>24</v>
      </c>
      <c r="B8" s="6" t="s">
        <v>25</v>
      </c>
      <c r="C8" s="6" t="s">
        <v>14</v>
      </c>
      <c r="D8" s="6" t="s">
        <v>26</v>
      </c>
      <c r="E8" s="6" t="s">
        <v>16</v>
      </c>
      <c r="F8" s="6">
        <v>2.016</v>
      </c>
      <c r="G8" s="6">
        <v>3.766</v>
      </c>
      <c r="H8" s="6">
        <v>2.75</v>
      </c>
      <c r="I8" s="6">
        <f t="shared" si="0"/>
        <v>2.844</v>
      </c>
      <c r="J8" s="6" t="s">
        <v>17</v>
      </c>
    </row>
    <row r="9" ht="24" customHeight="1" spans="1:10">
      <c r="A9" t="s">
        <v>27</v>
      </c>
      <c r="B9" t="s">
        <v>25</v>
      </c>
      <c r="C9" t="s">
        <v>19</v>
      </c>
      <c r="D9" t="s">
        <v>28</v>
      </c>
      <c r="E9" t="s">
        <v>16</v>
      </c>
      <c r="F9">
        <v>15.583</v>
      </c>
      <c r="G9">
        <v>9.015</v>
      </c>
      <c r="H9">
        <v>1.533</v>
      </c>
      <c r="I9">
        <f t="shared" si="0"/>
        <v>8.71033333333333</v>
      </c>
      <c r="J9" t="s">
        <v>17</v>
      </c>
    </row>
    <row r="10" ht="24" customHeight="1" spans="1:10">
      <c r="A10" s="6" t="s">
        <v>29</v>
      </c>
      <c r="B10" s="6" t="s">
        <v>30</v>
      </c>
      <c r="C10" s="6" t="s">
        <v>14</v>
      </c>
      <c r="D10" s="6" t="s">
        <v>31</v>
      </c>
      <c r="E10" s="6" t="s">
        <v>16</v>
      </c>
      <c r="F10" s="7">
        <v>4.25</v>
      </c>
      <c r="G10" s="6">
        <v>3.183</v>
      </c>
      <c r="H10" s="6">
        <v>3.583</v>
      </c>
      <c r="I10" s="6">
        <f t="shared" si="0"/>
        <v>3.672</v>
      </c>
      <c r="J10" s="6" t="s">
        <v>17</v>
      </c>
    </row>
    <row r="11" ht="24" customHeight="1" spans="1:10">
      <c r="A11" t="s">
        <v>32</v>
      </c>
      <c r="B11" t="s">
        <v>30</v>
      </c>
      <c r="C11" t="s">
        <v>33</v>
      </c>
      <c r="D11" t="s">
        <v>34</v>
      </c>
      <c r="E11" t="s">
        <v>16</v>
      </c>
      <c r="F11" s="8">
        <v>1.65</v>
      </c>
      <c r="G11">
        <v>2.217</v>
      </c>
      <c r="H11">
        <v>2.716</v>
      </c>
      <c r="I11">
        <f t="shared" si="0"/>
        <v>2.19433333333333</v>
      </c>
      <c r="J11" t="s">
        <v>17</v>
      </c>
    </row>
    <row r="12" ht="24" customHeight="1" spans="1:10">
      <c r="A12" s="6" t="s">
        <v>35</v>
      </c>
      <c r="B12" s="6" t="s">
        <v>30</v>
      </c>
      <c r="C12" s="6" t="s">
        <v>19</v>
      </c>
      <c r="D12" s="6" t="s">
        <v>36</v>
      </c>
      <c r="E12" s="6" t="s">
        <v>16</v>
      </c>
      <c r="F12" s="6">
        <v>2.966</v>
      </c>
      <c r="G12" s="6">
        <v>2.733</v>
      </c>
      <c r="H12" s="6">
        <v>2.466</v>
      </c>
      <c r="I12" s="6">
        <f t="shared" si="0"/>
        <v>2.72166666666667</v>
      </c>
      <c r="J12" s="6" t="s">
        <v>17</v>
      </c>
    </row>
    <row r="13" ht="24" customHeight="1" spans="1:10">
      <c r="A13" t="s">
        <v>37</v>
      </c>
      <c r="B13" t="s">
        <v>38</v>
      </c>
      <c r="C13" t="s">
        <v>14</v>
      </c>
      <c r="D13" t="s">
        <v>39</v>
      </c>
      <c r="E13" t="s">
        <v>16</v>
      </c>
      <c r="F13">
        <v>3.083</v>
      </c>
      <c r="G13">
        <v>2.832</v>
      </c>
      <c r="H13">
        <v>2.583</v>
      </c>
      <c r="I13">
        <f t="shared" si="0"/>
        <v>2.83266666666667</v>
      </c>
      <c r="J13" t="s">
        <v>17</v>
      </c>
    </row>
    <row r="14" ht="24" customHeight="1" spans="1:10">
      <c r="A14" s="6" t="s">
        <v>40</v>
      </c>
      <c r="B14" s="6" t="s">
        <v>38</v>
      </c>
      <c r="C14" s="6" t="s">
        <v>19</v>
      </c>
      <c r="D14" s="6" t="s">
        <v>41</v>
      </c>
      <c r="E14" s="6" t="s">
        <v>16</v>
      </c>
      <c r="F14" s="7">
        <v>3.9</v>
      </c>
      <c r="G14" s="6">
        <v>1.551</v>
      </c>
      <c r="H14" s="6">
        <v>1.583</v>
      </c>
      <c r="I14" s="6">
        <f t="shared" si="0"/>
        <v>2.34466666666667</v>
      </c>
      <c r="J14" s="6" t="s">
        <v>17</v>
      </c>
    </row>
    <row r="17" spans="1:10">
      <c r="A17" s="9" t="s">
        <v>42</v>
      </c>
      <c r="B17" s="9" t="s">
        <v>43</v>
      </c>
    </row>
    <row r="18" spans="1:10">
      <c r="A18" t="s">
        <v>44</v>
      </c>
      <c r="B18">
        <f>COUNTA(A5:A14)</f>
        <v>10</v>
      </c>
    </row>
    <row r="19" spans="1:10">
      <c r="A19" t="s">
        <v>45</v>
      </c>
      <c r="B19">
        <f>COUNTIF(E5:E14,"Box visible")</f>
        <v>10</v>
      </c>
    </row>
    <row r="20" spans="1:10">
      <c r="A20" t="s">
        <v>46</v>
      </c>
      <c r="B20">
        <f>COUNTIF(E5:E14,"No box")</f>
        <v>0</v>
      </c>
    </row>
    <row r="21" spans="1:10">
      <c r="A21" t="s">
        <v>47</v>
      </c>
      <c r="B21" s="10">
        <f>IFERROR(B19/B18,0)</f>
        <v>1</v>
      </c>
    </row>
    <row r="22" spans="1:10">
      <c r="A22" t="s">
        <v>48</v>
      </c>
      <c r="B22">
        <f>COUNT(F5:H14)</f>
        <v>30</v>
      </c>
    </row>
    <row r="23" spans="1:10">
      <c r="A23" t="s">
        <v>49</v>
      </c>
      <c r="B23">
        <f>COUNTIF(J5:J14,"Yes")</f>
        <v>10</v>
      </c>
    </row>
    <row r="25" ht="28" customHeight="1" spans="1:10">
      <c r="A25" s="2" t="s">
        <v>50</v>
      </c>
      <c r="B25" s="2"/>
      <c r="C25" s="2"/>
      <c r="D25" s="2"/>
      <c r="E25" s="2"/>
      <c r="F25" s="2"/>
      <c r="G25" s="2"/>
      <c r="H25" s="2"/>
      <c r="I25" s="2"/>
      <c r="J25" s="2"/>
    </row>
  </sheetData>
  <mergeCells count="3">
    <mergeCell ref="A1:J1"/>
    <mergeCell ref="A2:J2"/>
    <mergeCell ref="A25:J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"/>
  <sheetViews>
    <sheetView topLeftCell="B1" workbookViewId="0">
      <pane ySplit="2" topLeftCell="A83" activePane="bottomLeft" state="frozen"/>
      <selection/>
      <selection pane="bottomLeft" activeCell="D97" sqref="D97"/>
    </sheetView>
  </sheetViews>
  <sheetFormatPr defaultColWidth="9" defaultRowHeight="13.8" outlineLevelCol="5"/>
  <cols>
    <col min="1" max="1" width="19" customWidth="1"/>
    <col min="2" max="3" width="34" customWidth="1"/>
    <col min="4" max="6" width="18" customWidth="1"/>
  </cols>
  <sheetData>
    <row r="1" ht="35" customHeight="1" spans="1:6">
      <c r="A1" s="1" t="s">
        <v>51</v>
      </c>
      <c r="B1" s="1"/>
      <c r="C1" s="1"/>
      <c r="D1" s="1"/>
      <c r="E1" s="1"/>
      <c r="F1" s="1"/>
    </row>
    <row r="2" ht="27" customHeight="1" spans="1:6">
      <c r="A2" s="2" t="s">
        <v>52</v>
      </c>
      <c r="B2" s="2"/>
      <c r="C2" s="2"/>
      <c r="D2" s="2"/>
      <c r="E2" s="2"/>
      <c r="F2" s="2"/>
    </row>
    <row r="4" ht="24" customHeight="1" spans="1:6">
      <c r="A4" s="3" t="s">
        <v>53</v>
      </c>
      <c r="B4" s="3"/>
      <c r="C4" s="3"/>
      <c r="D4" s="3"/>
      <c r="E4" s="3"/>
      <c r="F4" s="3"/>
    </row>
    <row r="5" ht="23" customHeight="1" spans="1:6">
      <c r="A5" s="4"/>
      <c r="B5" s="4" t="s">
        <v>54</v>
      </c>
      <c r="C5" s="4" t="s">
        <v>55</v>
      </c>
      <c r="D5" s="4"/>
      <c r="E5" s="4"/>
      <c r="F5" s="4"/>
    </row>
    <row r="6" ht="24" customHeight="1" spans="1:6">
      <c r="D6" t="s">
        <v>56</v>
      </c>
    </row>
    <row r="7" ht="24" customHeight="1" spans="1:6">
      <c r="D7" t="s">
        <v>57</v>
      </c>
    </row>
    <row r="8" ht="24" customHeight="1" spans="1:6">
      <c r="D8" t="s">
        <v>58</v>
      </c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2" ht="24" customHeight="1" spans="1:6">
      <c r="A22" s="3" t="s">
        <v>59</v>
      </c>
      <c r="B22" s="3"/>
      <c r="C22" s="3"/>
      <c r="D22" s="3"/>
      <c r="E22" s="3"/>
      <c r="F22" s="3"/>
    </row>
    <row r="23" ht="23" customHeight="1" spans="1:6">
      <c r="A23" s="4"/>
      <c r="B23" s="4" t="s">
        <v>54</v>
      </c>
      <c r="C23" s="4" t="s">
        <v>55</v>
      </c>
      <c r="D23" s="4"/>
      <c r="E23" s="4"/>
      <c r="F23" s="4"/>
    </row>
    <row r="24" ht="24" customHeight="1" spans="1:6">
      <c r="D24" t="s">
        <v>56</v>
      </c>
    </row>
    <row r="25" ht="24" customHeight="1" spans="1:6">
      <c r="D25" t="s">
        <v>60</v>
      </c>
    </row>
    <row r="26" ht="24" customHeight="1" spans="1:6">
      <c r="D26" t="s">
        <v>58</v>
      </c>
    </row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40" ht="24" customHeight="1" spans="1:6">
      <c r="A40" s="3" t="s">
        <v>61</v>
      </c>
      <c r="B40" s="3"/>
      <c r="C40" s="3"/>
      <c r="D40" s="3"/>
      <c r="E40" s="3"/>
      <c r="F40" s="3"/>
    </row>
    <row r="41" ht="23" customHeight="1" spans="1:6">
      <c r="A41" s="4"/>
      <c r="B41" s="4" t="s">
        <v>54</v>
      </c>
      <c r="C41" s="4" t="s">
        <v>55</v>
      </c>
      <c r="D41" s="4"/>
      <c r="E41" s="4"/>
      <c r="F41" s="4"/>
    </row>
    <row r="42" ht="24" customHeight="1" spans="1:6">
      <c r="D42" t="s">
        <v>56</v>
      </c>
    </row>
    <row r="43" ht="24" customHeight="1" spans="1:6">
      <c r="D43" t="s">
        <v>62</v>
      </c>
    </row>
    <row r="44" ht="24" customHeight="1" spans="1:6">
      <c r="D44" t="s">
        <v>58</v>
      </c>
    </row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8" ht="24" customHeight="1" spans="1:6">
      <c r="A58" s="3" t="s">
        <v>63</v>
      </c>
      <c r="B58" s="3"/>
      <c r="C58" s="3"/>
      <c r="D58" s="3"/>
      <c r="E58" s="3"/>
      <c r="F58" s="3"/>
    </row>
    <row r="59" ht="23" customHeight="1" spans="1:6">
      <c r="A59" s="4"/>
      <c r="B59" s="4" t="s">
        <v>54</v>
      </c>
      <c r="C59" s="4" t="s">
        <v>55</v>
      </c>
      <c r="D59" s="4"/>
      <c r="E59" s="4"/>
      <c r="F59" s="4"/>
    </row>
    <row r="60" ht="24" customHeight="1" spans="1:6">
      <c r="D60" t="s">
        <v>56</v>
      </c>
    </row>
    <row r="61" ht="24" customHeight="1" spans="1:6">
      <c r="D61" t="s">
        <v>64</v>
      </c>
    </row>
    <row r="62" ht="24" customHeight="1" spans="1:6">
      <c r="D62" t="s">
        <v>58</v>
      </c>
    </row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6" ht="24" customHeight="1" spans="1:6">
      <c r="A76" s="3" t="s">
        <v>65</v>
      </c>
      <c r="B76" s="3"/>
      <c r="C76" s="3"/>
      <c r="D76" s="3"/>
      <c r="E76" s="3"/>
      <c r="F76" s="3"/>
    </row>
    <row r="77" ht="23" customHeight="1" spans="1:6">
      <c r="A77" s="4"/>
      <c r="B77" s="4" t="s">
        <v>54</v>
      </c>
      <c r="C77" s="4" t="s">
        <v>55</v>
      </c>
      <c r="D77" s="4"/>
      <c r="E77" s="4"/>
      <c r="F77" s="4"/>
    </row>
    <row r="78" ht="24" customHeight="1" spans="1:6">
      <c r="D78" t="s">
        <v>56</v>
      </c>
    </row>
    <row r="79" ht="24" customHeight="1" spans="1:6">
      <c r="D79" t="s">
        <v>66</v>
      </c>
    </row>
    <row r="80" ht="24" customHeight="1" spans="1:6">
      <c r="D80" t="s">
        <v>58</v>
      </c>
    </row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4" ht="24" customHeight="1" spans="1:6">
      <c r="A94" s="3" t="s">
        <v>67</v>
      </c>
      <c r="B94" s="3"/>
      <c r="C94" s="3"/>
      <c r="D94" s="3"/>
      <c r="E94" s="3"/>
      <c r="F94" s="3"/>
    </row>
    <row r="95" ht="23" customHeight="1" spans="1:6">
      <c r="A95" s="4"/>
      <c r="B95" s="4" t="s">
        <v>54</v>
      </c>
      <c r="C95" s="4" t="s">
        <v>55</v>
      </c>
      <c r="D95" s="4"/>
      <c r="E95" s="4"/>
      <c r="F95" s="4"/>
    </row>
    <row r="96" ht="24" customHeight="1" spans="1:6">
      <c r="D96" t="s">
        <v>56</v>
      </c>
    </row>
    <row r="97" ht="24" customHeight="1" spans="1:6">
      <c r="D97" t="s">
        <v>68</v>
      </c>
    </row>
    <row r="98" ht="24" customHeight="1" spans="1:6">
      <c r="D98" t="s">
        <v>58</v>
      </c>
    </row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2" ht="24" customHeight="1" spans="1:6">
      <c r="A112" s="3" t="s">
        <v>69</v>
      </c>
      <c r="B112" s="3"/>
      <c r="C112" s="3"/>
      <c r="D112" s="3"/>
      <c r="E112" s="3"/>
      <c r="F112" s="3"/>
    </row>
    <row r="113" ht="23" customHeight="1" spans="1:6">
      <c r="A113" s="4"/>
      <c r="B113" s="4" t="s">
        <v>54</v>
      </c>
      <c r="C113" s="4" t="s">
        <v>55</v>
      </c>
      <c r="D113" s="4"/>
      <c r="E113" s="4"/>
      <c r="F113" s="4"/>
    </row>
    <row r="114" ht="24" customHeight="1" spans="1:6">
      <c r="D114" t="s">
        <v>56</v>
      </c>
    </row>
    <row r="115" ht="24" customHeight="1" spans="1:6">
      <c r="D115" t="s">
        <v>70</v>
      </c>
    </row>
    <row r="116" ht="24" customHeight="1" spans="1:6">
      <c r="D116" t="s">
        <v>58</v>
      </c>
    </row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30" ht="24" customHeight="1" spans="1:6">
      <c r="A130" s="3" t="s">
        <v>71</v>
      </c>
      <c r="B130" s="3"/>
      <c r="C130" s="3"/>
      <c r="D130" s="3"/>
      <c r="E130" s="3"/>
      <c r="F130" s="3"/>
    </row>
    <row r="131" ht="23" customHeight="1" spans="1:6">
      <c r="A131" s="4"/>
      <c r="B131" s="4" t="s">
        <v>54</v>
      </c>
      <c r="C131" s="4" t="s">
        <v>55</v>
      </c>
      <c r="D131" s="4"/>
      <c r="E131" s="4"/>
      <c r="F131" s="4"/>
    </row>
    <row r="132" ht="24" customHeight="1" spans="1:6">
      <c r="D132" t="s">
        <v>56</v>
      </c>
    </row>
    <row r="133" ht="24" customHeight="1" spans="1:6">
      <c r="D133" t="s">
        <v>72</v>
      </c>
    </row>
    <row r="134" ht="24" customHeight="1" spans="1:6">
      <c r="D134" t="s">
        <v>58</v>
      </c>
    </row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8" ht="24" customHeight="1" spans="1:6">
      <c r="A148" s="3" t="s">
        <v>73</v>
      </c>
      <c r="B148" s="3"/>
      <c r="C148" s="3"/>
      <c r="D148" s="3"/>
      <c r="E148" s="3"/>
      <c r="F148" s="3"/>
    </row>
    <row r="149" ht="23" customHeight="1" spans="1:6">
      <c r="A149" s="4"/>
      <c r="B149" s="4" t="s">
        <v>54</v>
      </c>
      <c r="C149" s="4" t="s">
        <v>55</v>
      </c>
      <c r="D149" s="4"/>
      <c r="E149" s="4"/>
      <c r="F149" s="4"/>
    </row>
    <row r="150" ht="24" customHeight="1" spans="1:6">
      <c r="D150" t="s">
        <v>56</v>
      </c>
    </row>
    <row r="151" ht="24" customHeight="1" spans="1:6">
      <c r="D151" t="s">
        <v>74</v>
      </c>
    </row>
    <row r="152" ht="24" customHeight="1" spans="1:6">
      <c r="D152" t="s">
        <v>58</v>
      </c>
    </row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6" ht="24" customHeight="1" spans="1:6">
      <c r="A166" s="3" t="s">
        <v>75</v>
      </c>
      <c r="B166" s="3"/>
      <c r="C166" s="3"/>
      <c r="D166" s="3"/>
      <c r="E166" s="3"/>
      <c r="F166" s="3"/>
    </row>
    <row r="167" ht="23" customHeight="1" spans="1:6">
      <c r="A167" s="4"/>
      <c r="B167" s="4" t="s">
        <v>54</v>
      </c>
      <c r="C167" s="4" t="s">
        <v>55</v>
      </c>
      <c r="D167" s="4"/>
      <c r="E167" s="4"/>
      <c r="F167" s="4"/>
    </row>
    <row r="168" ht="24" customHeight="1" spans="1:6">
      <c r="D168" t="s">
        <v>56</v>
      </c>
    </row>
    <row r="169" ht="24" customHeight="1" spans="1:6">
      <c r="D169" t="s">
        <v>76</v>
      </c>
    </row>
    <row r="170" ht="24" customHeight="1" spans="1:6">
      <c r="D170" t="s">
        <v>58</v>
      </c>
    </row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</sheetData>
  <mergeCells count="12">
    <mergeCell ref="A1:F1"/>
    <mergeCell ref="A2:F2"/>
    <mergeCell ref="A4:F4"/>
    <mergeCell ref="A22:F22"/>
    <mergeCell ref="A40:F40"/>
    <mergeCell ref="A58:F58"/>
    <mergeCell ref="A76:F76"/>
    <mergeCell ref="A94:F94"/>
    <mergeCell ref="A112:F112"/>
    <mergeCell ref="A130:F130"/>
    <mergeCell ref="A148:F148"/>
    <mergeCell ref="A166:F16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Results</vt:lpstr>
      <vt:lpstr>Photo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jstar</cp:lastModifiedBy>
  <dcterms:created xsi:type="dcterms:W3CDTF">2026-10-20T12:19:16Z</dcterms:created>
  <dcterms:modified xsi:type="dcterms:W3CDTF">2026-10-20T13:09:28Z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3FAEF511983A41A3BD991AB95389F85E_12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